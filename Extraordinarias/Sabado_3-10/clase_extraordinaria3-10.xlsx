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actual" sheetId="1" r:id="rId5"/>
    <sheet state="visible" name="1FN" sheetId="2" r:id="rId6"/>
  </sheets>
  <definedNames/>
  <calcPr/>
</workbook>
</file>

<file path=xl/sharedStrings.xml><?xml version="1.0" encoding="utf-8"?>
<sst xmlns="http://schemas.openxmlformats.org/spreadsheetml/2006/main" count="95" uniqueCount="65">
  <si>
    <t>ID_Venta</t>
  </si>
  <si>
    <t>Fecha</t>
  </si>
  <si>
    <t>Estado_Venta</t>
  </si>
  <si>
    <t>Total_Venta</t>
  </si>
  <si>
    <t>Productos_Vendidos</t>
  </si>
  <si>
    <t>Cantidades</t>
  </si>
  <si>
    <t>Precios_Unitarios</t>
  </si>
  <si>
    <t>Stock_Actual</t>
  </si>
  <si>
    <t>Estado_Producto</t>
  </si>
  <si>
    <t>completada</t>
  </si>
  <si>
    <t>47000.00</t>
  </si>
  <si>
    <t>Teclado Mecánico, Mouse Gamer</t>
  </si>
  <si>
    <t>1, 2</t>
  </si>
  <si>
    <t>25000.00, 11000.00</t>
  </si>
  <si>
    <t>15, 30</t>
  </si>
  <si>
    <t>activo, activo</t>
  </si>
  <si>
    <t>11000.00</t>
  </si>
  <si>
    <t>Mouse Gamer</t>
  </si>
  <si>
    <t>activo</t>
  </si>
  <si>
    <t>pendiente</t>
  </si>
  <si>
    <t>93000.00</t>
  </si>
  <si>
    <t>Monitor 24", Teclado Mecánico</t>
  </si>
  <si>
    <t>1, 1</t>
  </si>
  <si>
    <t>68000.00, 25000.00</t>
  </si>
  <si>
    <t>8, 15</t>
  </si>
  <si>
    <t>136000.00</t>
  </si>
  <si>
    <t>Monitor 24"</t>
  </si>
  <si>
    <t>68000.00</t>
  </si>
  <si>
    <t>cancelada</t>
  </si>
  <si>
    <t>36000.00</t>
  </si>
  <si>
    <t>Mouse Gamer, Pad Mouse XL</t>
  </si>
  <si>
    <t>2, 1</t>
  </si>
  <si>
    <t>11000.00, 14000.00</t>
  </si>
  <si>
    <t>30, 50</t>
  </si>
  <si>
    <t>1FN</t>
  </si>
  <si>
    <t>ID_Venta (PK)</t>
  </si>
  <si>
    <t>Nombre producto (PK)</t>
  </si>
  <si>
    <t>Cantidad</t>
  </si>
  <si>
    <t>Precio unitario</t>
  </si>
  <si>
    <t>Estado_venta</t>
  </si>
  <si>
    <t>Stock actual</t>
  </si>
  <si>
    <t>Estado_producto</t>
  </si>
  <si>
    <t>total_venta</t>
  </si>
  <si>
    <t>Teclado Mecánico</t>
  </si>
  <si>
    <t>Mouse gamer</t>
  </si>
  <si>
    <t>2FN</t>
  </si>
  <si>
    <t>Productos</t>
  </si>
  <si>
    <t>Ventas</t>
  </si>
  <si>
    <t>id</t>
  </si>
  <si>
    <t>nombre</t>
  </si>
  <si>
    <t>precio_costo</t>
  </si>
  <si>
    <t>precio_publico</t>
  </si>
  <si>
    <t>estado</t>
  </si>
  <si>
    <t>stock</t>
  </si>
  <si>
    <t>fecha</t>
  </si>
  <si>
    <t>cantidad</t>
  </si>
  <si>
    <t>total</t>
  </si>
  <si>
    <t>Teclado mecánico</t>
  </si>
  <si>
    <t>completado</t>
  </si>
  <si>
    <t>3FN</t>
  </si>
  <si>
    <t>Detalle_ventas</t>
  </si>
  <si>
    <t>ID_producto (PK)</t>
  </si>
  <si>
    <t>ID_venta (PK)</t>
  </si>
  <si>
    <t>precio_unitario</t>
  </si>
  <si>
    <t>subtotal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</si>
</sst>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Google Sans Text"/>
    </font>
    <font>
      <b/>
      <color theme="1"/>
      <name val="Google Sans Text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1" numFmtId="164" xfId="0" applyAlignment="1" applyBorder="1" applyFont="1" applyNumberFormat="1">
      <alignment readingOrder="0" shrinkToFit="0" wrapText="1"/>
    </xf>
    <xf borderId="0" fillId="2" fontId="3" numFmtId="0" xfId="0" applyFill="1" applyFont="1"/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3" fontId="3" numFmtId="0" xfId="0" applyAlignment="1" applyFill="1" applyFont="1">
      <alignment horizontal="center" readingOrder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4" fontId="1" numFmtId="164" xfId="0" applyAlignment="1" applyFill="1" applyFont="1" applyNumberFormat="1">
      <alignment readingOrder="0" shrinkToFit="0" wrapText="1"/>
    </xf>
    <xf borderId="0" fillId="5" fontId="3" numFmtId="0" xfId="0" applyAlignment="1" applyFill="1" applyFont="1">
      <alignment horizontal="center" readingOrder="0"/>
    </xf>
    <xf borderId="0" fillId="5" fontId="3" numFmtId="0" xfId="0" applyAlignment="1" applyFill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7">
    <tableStyle count="3" pivot="0" name="Registro actual-style">
      <tableStyleElement dxfId="1" type="headerRow"/>
      <tableStyleElement dxfId="2" type="firstRowStripe"/>
      <tableStyleElement dxfId="3" type="secondRowStripe"/>
    </tableStyle>
    <tableStyle count="3" pivot="0" name="Registro actual-style 2">
      <tableStyleElement dxfId="4" type="headerRow"/>
      <tableStyleElement dxfId="2" type="firstRowStripe"/>
      <tableStyleElement dxfId="5" type="secondRowStripe"/>
    </tableStyle>
    <tableStyle count="3" pivot="0" name="Registro actual-style 3">
      <tableStyleElement dxfId="6" type="headerRow"/>
      <tableStyleElement dxfId="2" type="firstRowStripe"/>
      <tableStyleElement dxfId="7" type="secondRowStripe"/>
    </tableStyle>
    <tableStyle count="3" pivot="0" name="Registro actual-style 4">
      <tableStyleElement dxfId="6" type="headerRow"/>
      <tableStyleElement dxfId="2" type="firstRowStripe"/>
      <tableStyleElement dxfId="7" type="secondRowStripe"/>
    </tableStyle>
    <tableStyle count="3" pivot="0" name="Registro actual-style 5">
      <tableStyleElement dxfId="8" type="headerRow"/>
      <tableStyleElement dxfId="2" type="firstRowStripe"/>
      <tableStyleElement dxfId="9" type="secondRowStripe"/>
    </tableStyle>
    <tableStyle count="3" pivot="0" name="Registro actual-style 6">
      <tableStyleElement dxfId="8" type="headerRow"/>
      <tableStyleElement dxfId="2" type="firstRowStripe"/>
      <tableStyleElement dxfId="9" type="secondRowStripe"/>
    </tableStyle>
    <tableStyle count="3" pivot="0" name="Registro actual-style 7">
      <tableStyleElement dxfId="8" type="headerRow"/>
      <tableStyleElement dxfId="2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J7" displayName="Table_1" name="Table_1" id="1">
  <tableColumns count="9">
    <tableColumn name="ID_Venta" id="1"/>
    <tableColumn name="Fecha" id="2"/>
    <tableColumn name="Estado_Venta" id="3"/>
    <tableColumn name="Total_Venta" id="4"/>
    <tableColumn name="Productos_Vendidos" id="5"/>
    <tableColumn name="Cantidades" id="6"/>
    <tableColumn name="Precios_Unitarios" id="7"/>
    <tableColumn name="Stock_Actual" id="8"/>
    <tableColumn name="Estado_Producto" id="9"/>
  </tableColumns>
  <tableStyleInfo name="Registro actual-style" showColumnStripes="0" showFirstColumn="1" showLastColumn="1" showRowStripes="1"/>
</table>
</file>

<file path=xl/tables/table2.xml><?xml version="1.0" encoding="utf-8"?>
<table xmlns="http://schemas.openxmlformats.org/spreadsheetml/2006/main" ref="B13:J15" displayName="Table_2" name="Table_2" id="2">
  <tableColumns count="9">
    <tableColumn name="ID_Venta (PK)" id="1"/>
    <tableColumn name="Nombre producto (PK)" id="2"/>
    <tableColumn name="Cantidad" id="3"/>
    <tableColumn name="Precio unitario" id="4"/>
    <tableColumn name="Fecha" id="5"/>
    <tableColumn name="Estado_venta" id="6"/>
    <tableColumn name="Stock actual" id="7"/>
    <tableColumn name="Estado_producto" id="8"/>
    <tableColumn name="total_venta" id="9"/>
  </tableColumns>
  <tableStyleInfo name="Registro actual-style 2" showColumnStripes="0" showFirstColumn="1" showLastColumn="1" showRowStripes="1"/>
</table>
</file>

<file path=xl/tables/table3.xml><?xml version="1.0" encoding="utf-8"?>
<table xmlns="http://schemas.openxmlformats.org/spreadsheetml/2006/main" ref="B22:G23" displayName="Table_3" name="Table_3" id="3">
  <tableColumns count="6">
    <tableColumn name="id" id="1"/>
    <tableColumn name="nombre" id="2"/>
    <tableColumn name="precio_costo" id="3"/>
    <tableColumn name="precio_publico" id="4"/>
    <tableColumn name="estado" id="5"/>
    <tableColumn name="stock" id="6"/>
  </tableColumns>
  <tableStyleInfo name="Registro actual-style 3" showColumnStripes="0" showFirstColumn="1" showLastColumn="1" showRowStripes="1"/>
</table>
</file>

<file path=xl/tables/table4.xml><?xml version="1.0" encoding="utf-8"?>
<table xmlns="http://schemas.openxmlformats.org/spreadsheetml/2006/main" ref="I22:M24" displayName="Table_4" name="Table_4" id="4">
  <tableColumns count="5">
    <tableColumn name="id" id="1"/>
    <tableColumn name="fecha" id="2"/>
    <tableColumn name="cantidad" id="3"/>
    <tableColumn name="estado" id="4"/>
    <tableColumn name="total" id="5"/>
  </tableColumns>
  <tableStyleInfo name="Registro actual-style 4" showColumnStripes="0" showFirstColumn="1" showLastColumn="1" showRowStripes="1"/>
</table>
</file>

<file path=xl/tables/table5.xml><?xml version="1.0" encoding="utf-8"?>
<table xmlns="http://schemas.openxmlformats.org/spreadsheetml/2006/main" ref="B30:G31" displayName="Table_5" name="Table_5" id="5">
  <tableColumns count="6">
    <tableColumn name="id" id="1"/>
    <tableColumn name="nombre" id="2"/>
    <tableColumn name="precio_costo" id="3"/>
    <tableColumn name="precio_publico" id="4"/>
    <tableColumn name="estado" id="5"/>
    <tableColumn name="stock" id="6"/>
  </tableColumns>
  <tableStyleInfo name="Registro actual-style 5" showColumnStripes="0" showFirstColumn="1" showLastColumn="1" showRowStripes="1"/>
</table>
</file>

<file path=xl/tables/table6.xml><?xml version="1.0" encoding="utf-8"?>
<table xmlns="http://schemas.openxmlformats.org/spreadsheetml/2006/main" headerRowCount="0" ref="B34:F35" displayName="Table_6" name="Table_6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Registro actual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B39:F41" displayName="Table_7" name="Table_7" id="7">
  <tableColumns count="5">
    <tableColumn name="ID_producto (PK)" id="1"/>
    <tableColumn name="ID_venta (PK)" id="2"/>
    <tableColumn name="cantidad" id="3"/>
    <tableColumn name="precio_unitario" id="4"/>
    <tableColumn name="subtotal" id="5"/>
  </tableColumns>
  <tableStyleInfo name="Registro actual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3" max="3" width="16.88"/>
    <col customWidth="1" min="6" max="6" width="18.88"/>
    <col customWidth="1" min="8" max="8" width="15.88"/>
    <col customWidth="1" min="9" max="9" width="14.13"/>
    <col customWidth="1" min="10" max="10" width="15.0"/>
  </cols>
  <sheetData>
    <row r="1" ht="6.75" customHeight="1"/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>
      <c r="B3" s="2">
        <v>1.0</v>
      </c>
      <c r="C3" s="3">
        <v>46296.0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</row>
    <row r="4">
      <c r="B4" s="2">
        <v>2.0</v>
      </c>
      <c r="C4" s="3">
        <v>46296.0</v>
      </c>
      <c r="D4" s="1" t="s">
        <v>9</v>
      </c>
      <c r="E4" s="1" t="s">
        <v>16</v>
      </c>
      <c r="F4" s="1" t="s">
        <v>17</v>
      </c>
      <c r="G4" s="1">
        <v>1.0</v>
      </c>
      <c r="H4" s="1" t="s">
        <v>16</v>
      </c>
      <c r="I4" s="1">
        <v>30.0</v>
      </c>
      <c r="J4" s="1" t="s">
        <v>18</v>
      </c>
    </row>
    <row r="5">
      <c r="B5" s="2">
        <v>3.0</v>
      </c>
      <c r="C5" s="3">
        <v>46297.0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15</v>
      </c>
    </row>
    <row r="6">
      <c r="B6" s="2">
        <v>4.0</v>
      </c>
      <c r="C6" s="3">
        <v>46297.0</v>
      </c>
      <c r="D6" s="1" t="s">
        <v>9</v>
      </c>
      <c r="E6" s="1" t="s">
        <v>25</v>
      </c>
      <c r="F6" s="1" t="s">
        <v>26</v>
      </c>
      <c r="G6" s="1">
        <v>2.0</v>
      </c>
      <c r="H6" s="1" t="s">
        <v>27</v>
      </c>
      <c r="I6" s="1">
        <v>8.0</v>
      </c>
      <c r="J6" s="1" t="s">
        <v>18</v>
      </c>
    </row>
    <row r="7">
      <c r="B7" s="2">
        <v>5.0</v>
      </c>
      <c r="C7" s="3">
        <v>46298.0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15</v>
      </c>
    </row>
    <row r="9" ht="8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1">
      <c r="B11" s="5" t="s">
        <v>34</v>
      </c>
    </row>
    <row r="13">
      <c r="B13" s="6" t="s">
        <v>35</v>
      </c>
      <c r="C13" s="6" t="s">
        <v>36</v>
      </c>
      <c r="D13" s="6" t="s">
        <v>37</v>
      </c>
      <c r="E13" s="6" t="s">
        <v>38</v>
      </c>
      <c r="F13" s="6" t="s">
        <v>1</v>
      </c>
      <c r="G13" s="6" t="s">
        <v>39</v>
      </c>
      <c r="H13" s="6" t="s">
        <v>40</v>
      </c>
      <c r="I13" s="6" t="s">
        <v>41</v>
      </c>
      <c r="J13" s="6" t="s">
        <v>42</v>
      </c>
    </row>
    <row r="14">
      <c r="B14" s="6">
        <v>1.0</v>
      </c>
      <c r="C14" s="6" t="s">
        <v>43</v>
      </c>
      <c r="D14" s="6">
        <v>1.0</v>
      </c>
      <c r="E14" s="6">
        <v>25000.0</v>
      </c>
      <c r="F14" s="3">
        <v>46296.0</v>
      </c>
      <c r="G14" s="6" t="s">
        <v>9</v>
      </c>
      <c r="H14" s="6">
        <v>15.0</v>
      </c>
      <c r="I14" s="6" t="s">
        <v>18</v>
      </c>
      <c r="J14" s="6">
        <v>47000.0</v>
      </c>
    </row>
    <row r="15">
      <c r="B15" s="6">
        <v>1.0</v>
      </c>
      <c r="C15" s="6" t="s">
        <v>44</v>
      </c>
      <c r="D15" s="6">
        <v>2.0</v>
      </c>
      <c r="E15" s="6">
        <v>11000.0</v>
      </c>
      <c r="F15" s="3">
        <v>46296.0</v>
      </c>
      <c r="G15" s="6" t="s">
        <v>9</v>
      </c>
      <c r="H15" s="6">
        <v>30.0</v>
      </c>
      <c r="I15" s="6" t="s">
        <v>18</v>
      </c>
      <c r="J15" s="6">
        <v>47000.0</v>
      </c>
    </row>
    <row r="17" ht="6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9">
      <c r="B19" s="5" t="s">
        <v>45</v>
      </c>
    </row>
    <row r="21">
      <c r="B21" s="7" t="s">
        <v>46</v>
      </c>
      <c r="I21" s="8" t="s">
        <v>47</v>
      </c>
    </row>
    <row r="22">
      <c r="B22" s="6" t="s">
        <v>48</v>
      </c>
      <c r="C22" s="6" t="s">
        <v>49</v>
      </c>
      <c r="D22" s="6" t="s">
        <v>50</v>
      </c>
      <c r="E22" s="6" t="s">
        <v>51</v>
      </c>
      <c r="F22" s="6" t="s">
        <v>52</v>
      </c>
      <c r="G22" s="6" t="s">
        <v>53</v>
      </c>
      <c r="I22" s="6" t="s">
        <v>48</v>
      </c>
      <c r="J22" s="6" t="s">
        <v>54</v>
      </c>
      <c r="K22" s="6" t="s">
        <v>55</v>
      </c>
      <c r="L22" s="6" t="s">
        <v>52</v>
      </c>
      <c r="M22" s="6" t="s">
        <v>56</v>
      </c>
    </row>
    <row r="23">
      <c r="B23" s="6">
        <v>1.0</v>
      </c>
      <c r="C23" s="6" t="s">
        <v>57</v>
      </c>
      <c r="D23" s="6">
        <v>11000.0</v>
      </c>
      <c r="E23" s="6">
        <v>25000.0</v>
      </c>
      <c r="F23" s="6" t="s">
        <v>18</v>
      </c>
      <c r="G23" s="6">
        <v>15.0</v>
      </c>
      <c r="I23" s="6">
        <v>1.0</v>
      </c>
      <c r="J23" s="3">
        <v>46296.0</v>
      </c>
      <c r="K23" s="6">
        <v>3.0</v>
      </c>
      <c r="L23" s="6" t="s">
        <v>58</v>
      </c>
      <c r="M23" s="6">
        <v>47000.0</v>
      </c>
    </row>
    <row r="24">
      <c r="I24" s="9"/>
      <c r="J24" s="10"/>
      <c r="K24" s="9"/>
      <c r="L24" s="9"/>
      <c r="M24" s="9"/>
    </row>
    <row r="25" ht="8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7">
      <c r="B27" s="5" t="s">
        <v>59</v>
      </c>
    </row>
    <row r="29">
      <c r="B29" s="11" t="s">
        <v>46</v>
      </c>
    </row>
    <row r="30">
      <c r="B30" s="6" t="s">
        <v>48</v>
      </c>
      <c r="C30" s="6" t="s">
        <v>49</v>
      </c>
      <c r="D30" s="6" t="s">
        <v>50</v>
      </c>
      <c r="E30" s="6" t="s">
        <v>51</v>
      </c>
      <c r="F30" s="6" t="s">
        <v>52</v>
      </c>
      <c r="G30" s="6" t="s">
        <v>53</v>
      </c>
    </row>
    <row r="31">
      <c r="B31" s="6">
        <v>1.0</v>
      </c>
      <c r="C31" s="6" t="s">
        <v>57</v>
      </c>
      <c r="D31" s="6">
        <v>11000.0</v>
      </c>
      <c r="E31" s="6">
        <v>25000.0</v>
      </c>
      <c r="F31" s="6" t="s">
        <v>18</v>
      </c>
      <c r="G31" s="6">
        <v>15.0</v>
      </c>
    </row>
    <row r="33">
      <c r="B33" s="12" t="s">
        <v>47</v>
      </c>
    </row>
    <row r="34">
      <c r="B34" s="6" t="s">
        <v>48</v>
      </c>
      <c r="C34" s="6" t="s">
        <v>54</v>
      </c>
      <c r="D34" s="6"/>
      <c r="E34" s="6" t="s">
        <v>52</v>
      </c>
      <c r="F34" s="6" t="s">
        <v>56</v>
      </c>
    </row>
    <row r="35">
      <c r="B35" s="6">
        <v>1.0</v>
      </c>
      <c r="C35" s="3">
        <v>46296.0</v>
      </c>
      <c r="D35" s="6"/>
      <c r="E35" s="6" t="s">
        <v>58</v>
      </c>
      <c r="F35" s="6">
        <v>47000.0</v>
      </c>
    </row>
    <row r="38">
      <c r="B38" s="12" t="s">
        <v>60</v>
      </c>
    </row>
    <row r="39">
      <c r="B39" s="6" t="s">
        <v>61</v>
      </c>
      <c r="C39" s="6" t="s">
        <v>62</v>
      </c>
      <c r="D39" s="6" t="s">
        <v>55</v>
      </c>
      <c r="E39" s="6" t="s">
        <v>63</v>
      </c>
      <c r="F39" s="6" t="s">
        <v>64</v>
      </c>
    </row>
    <row r="40">
      <c r="B40" s="6">
        <v>1.0</v>
      </c>
      <c r="C40" s="6">
        <v>1.0</v>
      </c>
      <c r="D40" s="6">
        <v>1.0</v>
      </c>
      <c r="E40" s="6">
        <v>25000.0</v>
      </c>
      <c r="F40" s="13">
        <f t="shared" ref="F40:F41" si="1">(E40*D40)</f>
        <v>25000</v>
      </c>
    </row>
    <row r="41">
      <c r="B41" s="6">
        <v>2.0</v>
      </c>
      <c r="C41" s="6">
        <v>1.0</v>
      </c>
      <c r="D41" s="6">
        <v>2.0</v>
      </c>
      <c r="E41" s="6">
        <v>11000.0</v>
      </c>
      <c r="F41" s="13">
        <f t="shared" si="1"/>
        <v>22000</v>
      </c>
    </row>
  </sheetData>
  <mergeCells count="5">
    <mergeCell ref="B21:G21"/>
    <mergeCell ref="I21:M21"/>
    <mergeCell ref="B29:G29"/>
    <mergeCell ref="B33:F33"/>
    <mergeCell ref="B38:F38"/>
  </mergeCell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